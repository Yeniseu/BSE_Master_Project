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9294151c07b659b/Desktop/Ders/03_Data/DataScience_Project/BSE_DataProject/03_Output/"/>
    </mc:Choice>
  </mc:AlternateContent>
  <xr:revisionPtr revIDLastSave="83" documentId="11_F25DC773A252ABDACC1048A4A95C668C5ADE58E8" xr6:coauthVersionLast="47" xr6:coauthVersionMax="47" xr10:uidLastSave="{D25DC83A-65CC-46D9-AE75-6BDC3D3FB066}"/>
  <bookViews>
    <workbookView xWindow="-108" yWindow="-108" windowWidth="23256" windowHeight="13896" activeTab="1" xr2:uid="{00000000-000D-0000-FFFF-FFFF00000000}"/>
  </bookViews>
  <sheets>
    <sheet name="RMSE_Comp" sheetId="1" r:id="rId1"/>
    <sheet name="RMSE_Comp_Formatte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1" i="2" l="1"/>
  <c r="M34" i="2"/>
  <c r="M32" i="2"/>
  <c r="M29" i="2"/>
  <c r="M30" i="2"/>
  <c r="F30" i="2" s="1"/>
  <c r="M33" i="2"/>
  <c r="F33" i="2" s="1"/>
  <c r="L34" i="2"/>
  <c r="J34" i="2"/>
  <c r="L33" i="2"/>
  <c r="J33" i="2"/>
  <c r="L32" i="2"/>
  <c r="J32" i="2"/>
  <c r="J31" i="2"/>
  <c r="L30" i="2"/>
  <c r="J30" i="2"/>
  <c r="E34" i="2"/>
  <c r="J29" i="2"/>
  <c r="L29" i="2"/>
  <c r="K29" i="2"/>
  <c r="K30" i="2"/>
  <c r="E30" i="2" s="1"/>
  <c r="K31" i="2"/>
  <c r="E31" i="2" s="1"/>
  <c r="K32" i="2"/>
  <c r="E32" i="2" s="1"/>
  <c r="K33" i="2"/>
  <c r="E33" i="2" s="1"/>
  <c r="K34" i="2"/>
  <c r="B15" i="1"/>
  <c r="C15" i="1"/>
  <c r="B16" i="1"/>
  <c r="C16" i="1"/>
  <c r="B17" i="1"/>
  <c r="C17" i="1"/>
  <c r="B18" i="1"/>
  <c r="C18" i="1"/>
  <c r="B19" i="1"/>
  <c r="C13" i="1"/>
  <c r="B13" i="1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F16" i="2"/>
  <c r="E16" i="2"/>
  <c r="D16" i="2"/>
  <c r="C16" i="2"/>
  <c r="C17" i="2"/>
  <c r="F32" i="2" l="1"/>
  <c r="F31" i="2"/>
</calcChain>
</file>

<file path=xl/sharedStrings.xml><?xml version="1.0" encoding="utf-8"?>
<sst xmlns="http://schemas.openxmlformats.org/spreadsheetml/2006/main" count="86" uniqueCount="29">
  <si>
    <t>RF</t>
  </si>
  <si>
    <t>2001-2015</t>
  </si>
  <si>
    <t>AR</t>
  </si>
  <si>
    <t>2015-2025</t>
  </si>
  <si>
    <t>..</t>
  </si>
  <si>
    <t>Ridge</t>
  </si>
  <si>
    <t>Lasso</t>
  </si>
  <si>
    <t>ElNet</t>
  </si>
  <si>
    <t>S1</t>
  </si>
  <si>
    <t>1 step</t>
  </si>
  <si>
    <t>3 step</t>
  </si>
  <si>
    <t>We</t>
  </si>
  <si>
    <t>S2</t>
  </si>
  <si>
    <t>Medeiros Code</t>
  </si>
  <si>
    <t>RW</t>
  </si>
  <si>
    <t>SM</t>
  </si>
  <si>
    <t>Tablo: RMSE Comparison (S1:2001-2015, S2:2015-2025)</t>
  </si>
  <si>
    <t>Sample 1</t>
  </si>
  <si>
    <t>Sample 2</t>
  </si>
  <si>
    <r>
      <t xml:space="preserve">Table: RMSE Comparison </t>
    </r>
    <r>
      <rPr>
        <sz val="11"/>
        <color theme="1"/>
        <rFont val="Calibri"/>
        <family val="2"/>
        <charset val="162"/>
        <scheme val="minor"/>
      </rPr>
      <t>(S1:2001-15, S2:2015-25)</t>
    </r>
  </si>
  <si>
    <t>Current Results</t>
  </si>
  <si>
    <t>Medeiros Paper</t>
  </si>
  <si>
    <t>RSM</t>
  </si>
  <si>
    <t>Medeiros (2021)</t>
  </si>
  <si>
    <t>Table: RMSE Comparisons of Different Models</t>
  </si>
  <si>
    <t>Table: RMSE Comparisons for 2001-2015 Between Author's Calculations and Medeiros (2021)</t>
  </si>
  <si>
    <t>Table: Medeiros Paper vs Medeiros Code (2001-2015)</t>
  </si>
  <si>
    <t>1 Step Ahead</t>
  </si>
  <si>
    <t>3 Step 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</si>
</sst>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3" xfId="0" applyBorder="1"/>
    <xf numFmtId="169" fontId="0" fillId="0" borderId="4" xfId="0" applyNumberFormat="1" applyBorder="1" applyAlignment="1">
      <alignment horizontal="center"/>
    </xf>
    <xf numFmtId="0" fontId="0" fillId="0" borderId="5" xfId="0" applyBorder="1"/>
    <xf numFmtId="169" fontId="0" fillId="0" borderId="7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0" fontId="0" fillId="2" borderId="0" xfId="0" applyFill="1"/>
    <xf numFmtId="0" fontId="1" fillId="0" borderId="6" xfId="0" applyFont="1" applyBorder="1" applyAlignment="1">
      <alignment horizontal="left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5" xfId="0" applyFill="1" applyBorder="1"/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="145" zoomScaleNormal="145" workbookViewId="0">
      <pane xSplit="1" ySplit="4" topLeftCell="B5" activePane="bottomRight" state="frozen"/>
      <selection pane="topRight" activeCell="B1" sqref="B1"/>
      <selection pane="bottomLeft" activeCell="A17" sqref="A17"/>
      <selection pane="bottomRight" activeCell="C10" sqref="C10"/>
    </sheetView>
  </sheetViews>
  <sheetFormatPr defaultRowHeight="14.4" x14ac:dyDescent="0.3"/>
  <cols>
    <col min="1" max="1" width="8.33203125" customWidth="1"/>
    <col min="2" max="3" width="13.44140625" customWidth="1"/>
    <col min="4" max="7" width="10.5546875" customWidth="1"/>
  </cols>
  <sheetData>
    <row r="1" spans="1:7" x14ac:dyDescent="0.3">
      <c r="A1" s="2" t="s">
        <v>16</v>
      </c>
    </row>
    <row r="2" spans="1:7" x14ac:dyDescent="0.3">
      <c r="B2" s="1" t="s">
        <v>13</v>
      </c>
      <c r="C2" s="1" t="s">
        <v>13</v>
      </c>
      <c r="D2" s="1" t="s">
        <v>11</v>
      </c>
      <c r="E2" s="1" t="s">
        <v>11</v>
      </c>
      <c r="F2" s="1" t="s">
        <v>11</v>
      </c>
      <c r="G2" s="1" t="s">
        <v>11</v>
      </c>
    </row>
    <row r="3" spans="1:7" x14ac:dyDescent="0.3">
      <c r="B3" s="1" t="s">
        <v>8</v>
      </c>
      <c r="C3" s="1" t="s">
        <v>8</v>
      </c>
      <c r="D3" s="1" t="s">
        <v>8</v>
      </c>
      <c r="E3" s="1" t="s">
        <v>8</v>
      </c>
      <c r="F3" s="1" t="s">
        <v>12</v>
      </c>
      <c r="G3" s="1" t="s">
        <v>12</v>
      </c>
    </row>
    <row r="4" spans="1:7" x14ac:dyDescent="0.3">
      <c r="B4" s="1" t="s">
        <v>9</v>
      </c>
      <c r="C4" s="1" t="s">
        <v>10</v>
      </c>
      <c r="D4" s="1" t="s">
        <v>9</v>
      </c>
      <c r="E4" s="1" t="s">
        <v>10</v>
      </c>
      <c r="F4" s="1" t="s">
        <v>9</v>
      </c>
      <c r="G4" s="1" t="s">
        <v>10</v>
      </c>
    </row>
    <row r="5" spans="1:7" x14ac:dyDescent="0.3">
      <c r="A5" t="s">
        <v>14</v>
      </c>
      <c r="B5" s="3">
        <v>0.33600000000000002</v>
      </c>
      <c r="C5" s="3">
        <v>0.47299999999999998</v>
      </c>
      <c r="D5" s="3">
        <v>0.33500000000000002</v>
      </c>
      <c r="E5" s="3">
        <v>0.47099999999999997</v>
      </c>
      <c r="F5" s="3">
        <v>0.25</v>
      </c>
      <c r="G5" s="3">
        <v>0.32800000000000001</v>
      </c>
    </row>
    <row r="6" spans="1:7" x14ac:dyDescent="0.3">
      <c r="A6" t="s">
        <v>15</v>
      </c>
      <c r="B6" s="3"/>
      <c r="C6" s="3"/>
      <c r="D6" s="3">
        <v>0.37</v>
      </c>
      <c r="E6" s="3">
        <v>0.371</v>
      </c>
      <c r="F6" s="3">
        <v>0.28299999999999997</v>
      </c>
      <c r="G6" s="3">
        <v>0.28299999999999997</v>
      </c>
    </row>
    <row r="7" spans="1:7" x14ac:dyDescent="0.3">
      <c r="A7" t="s">
        <v>2</v>
      </c>
      <c r="B7" s="3">
        <v>0.30869000000000002</v>
      </c>
      <c r="C7" s="3">
        <v>0.36718000000000001</v>
      </c>
      <c r="D7" s="3" t="s">
        <v>4</v>
      </c>
      <c r="E7" s="3" t="s">
        <v>4</v>
      </c>
      <c r="F7" s="3" t="s">
        <v>4</v>
      </c>
      <c r="G7" s="3" t="s">
        <v>4</v>
      </c>
    </row>
    <row r="8" spans="1:7" x14ac:dyDescent="0.3">
      <c r="A8" t="s">
        <v>5</v>
      </c>
      <c r="B8" s="3">
        <v>0.28699999999999998</v>
      </c>
      <c r="C8" s="3">
        <v>0.33600000000000002</v>
      </c>
      <c r="D8" s="3">
        <v>0.29909000000000002</v>
      </c>
      <c r="E8" s="3">
        <v>0.37525999999999998</v>
      </c>
      <c r="F8" s="3">
        <v>0.22578999999999999</v>
      </c>
      <c r="G8" s="3">
        <v>0.28236</v>
      </c>
    </row>
    <row r="9" spans="1:7" x14ac:dyDescent="0.3">
      <c r="A9" t="s">
        <v>6</v>
      </c>
      <c r="B9" s="3">
        <v>0.28100000000000003</v>
      </c>
      <c r="C9" s="3">
        <v>0.35099999999999998</v>
      </c>
      <c r="D9" s="3">
        <v>0.27889000000000003</v>
      </c>
      <c r="E9" s="3">
        <v>0.34126000000000001</v>
      </c>
      <c r="F9" s="3">
        <v>0.2263</v>
      </c>
      <c r="G9" s="3">
        <v>0.26275999999999999</v>
      </c>
    </row>
    <row r="10" spans="1:7" x14ac:dyDescent="0.3">
      <c r="A10" t="s">
        <v>7</v>
      </c>
      <c r="B10" s="3">
        <v>0.28199999999999997</v>
      </c>
      <c r="C10" s="3">
        <v>0.33900000000000002</v>
      </c>
      <c r="D10" s="3">
        <v>0.27834999999999999</v>
      </c>
      <c r="E10" s="3">
        <v>0.34827000000000002</v>
      </c>
      <c r="F10" s="3">
        <v>0.22420000000000001</v>
      </c>
      <c r="G10" s="3">
        <v>0.26036999999999999</v>
      </c>
    </row>
    <row r="11" spans="1:7" x14ac:dyDescent="0.3">
      <c r="A11" t="s">
        <v>0</v>
      </c>
      <c r="B11" s="3">
        <v>0.29311999999999999</v>
      </c>
      <c r="C11" s="3">
        <v>0.33437</v>
      </c>
      <c r="D11" s="3">
        <v>0.29770999999999997</v>
      </c>
      <c r="E11" s="3">
        <v>0.32678000000000001</v>
      </c>
      <c r="F11" s="3">
        <v>0.22384000000000001</v>
      </c>
      <c r="G11" s="3">
        <v>0.25924999999999998</v>
      </c>
    </row>
    <row r="13" spans="1:7" x14ac:dyDescent="0.3">
      <c r="B13" s="4">
        <f>B5/B$5</f>
        <v>1</v>
      </c>
      <c r="C13" s="4">
        <f>C5/C$5</f>
        <v>1</v>
      </c>
    </row>
    <row r="14" spans="1:7" x14ac:dyDescent="0.3">
      <c r="B14" s="4"/>
      <c r="C14" s="4"/>
    </row>
    <row r="15" spans="1:7" x14ac:dyDescent="0.3">
      <c r="B15" s="4">
        <f>B7/B$5</f>
        <v>0.91872023809523806</v>
      </c>
      <c r="C15" s="4">
        <f>C7/C$5</f>
        <v>0.77627906976744188</v>
      </c>
    </row>
    <row r="16" spans="1:7" x14ac:dyDescent="0.3">
      <c r="B16" s="4">
        <f>B8/B$5</f>
        <v>0.85416666666666652</v>
      </c>
      <c r="C16" s="4">
        <f>C8/C$5</f>
        <v>0.71035940803382669</v>
      </c>
    </row>
    <row r="17" spans="2:3" x14ac:dyDescent="0.3">
      <c r="B17" s="4">
        <f>B9/B$5</f>
        <v>0.83630952380952384</v>
      </c>
      <c r="C17" s="4">
        <f>C9/C$5</f>
        <v>0.74207188160676529</v>
      </c>
    </row>
    <row r="18" spans="2:3" x14ac:dyDescent="0.3">
      <c r="B18" s="4">
        <f>B10/B$5</f>
        <v>0.83928571428571419</v>
      </c>
      <c r="C18" s="4">
        <f>C10/C$5</f>
        <v>0.7167019027484145</v>
      </c>
    </row>
    <row r="19" spans="2:3" x14ac:dyDescent="0.3">
      <c r="B19" s="4">
        <f>B11/B$5</f>
        <v>0.87238095238095226</v>
      </c>
      <c r="C19" s="4" t="s">
        <v>4</v>
      </c>
    </row>
  </sheetData>
  <conditionalFormatting sqref="B7:B11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B11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C11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C11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:D1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:D11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:E11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11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:F11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11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7:G11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5:G11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E3DD-54AB-41D3-9611-FD5FA2E7BF1A}">
  <dimension ref="A1:P48"/>
  <sheetViews>
    <sheetView tabSelected="1" topLeftCell="A19" zoomScale="130" zoomScaleNormal="130" workbookViewId="0">
      <selection activeCell="I26" sqref="I26:M26"/>
    </sheetView>
  </sheetViews>
  <sheetFormatPr defaultRowHeight="14.4" x14ac:dyDescent="0.3"/>
  <cols>
    <col min="10" max="13" width="10.5546875" customWidth="1"/>
  </cols>
  <sheetData>
    <row r="1" spans="1:16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5" thickBot="1" x14ac:dyDescent="0.35">
      <c r="A2" s="11"/>
      <c r="B2" s="12" t="s">
        <v>24</v>
      </c>
      <c r="C2" s="12"/>
      <c r="D2" s="12"/>
      <c r="E2" s="12"/>
      <c r="F2" s="12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3">
      <c r="A3" s="11"/>
      <c r="B3" s="17"/>
      <c r="C3" s="18" t="s">
        <v>1</v>
      </c>
      <c r="D3" s="19"/>
      <c r="E3" s="18" t="s">
        <v>3</v>
      </c>
      <c r="F3" s="19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5" thickBot="1" x14ac:dyDescent="0.35">
      <c r="A4" s="11"/>
      <c r="B4" s="20"/>
      <c r="C4" s="21" t="s">
        <v>9</v>
      </c>
      <c r="D4" s="22" t="s">
        <v>10</v>
      </c>
      <c r="E4" s="21" t="s">
        <v>9</v>
      </c>
      <c r="F4" s="22" t="s">
        <v>10</v>
      </c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x14ac:dyDescent="0.3">
      <c r="A5" s="11"/>
      <c r="B5" s="5" t="s">
        <v>14</v>
      </c>
      <c r="C5" s="9">
        <v>0.33500000000000002</v>
      </c>
      <c r="D5" s="6">
        <v>0.47099999999999997</v>
      </c>
      <c r="E5" s="9">
        <v>0.25</v>
      </c>
      <c r="F5" s="6">
        <v>0.32800000000000001</v>
      </c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x14ac:dyDescent="0.3">
      <c r="A6" s="11"/>
      <c r="B6" s="5" t="s">
        <v>22</v>
      </c>
      <c r="C6" s="9">
        <v>0.35885400931297956</v>
      </c>
      <c r="D6" s="6">
        <v>0.35885400931297956</v>
      </c>
      <c r="E6" s="9">
        <v>0.28264341492417616</v>
      </c>
      <c r="F6" s="6">
        <v>0.28264341492417616</v>
      </c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x14ac:dyDescent="0.3">
      <c r="A7" s="11"/>
      <c r="B7" s="5" t="s">
        <v>2</v>
      </c>
      <c r="C7" s="9">
        <v>0.36946028203313008</v>
      </c>
      <c r="D7" s="6">
        <v>0.35551427538145358</v>
      </c>
      <c r="E7" s="9">
        <v>0.27939004993020061</v>
      </c>
      <c r="F7" s="6">
        <v>0.25709220135974564</v>
      </c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x14ac:dyDescent="0.3">
      <c r="A8" s="11"/>
      <c r="B8" s="5" t="s">
        <v>5</v>
      </c>
      <c r="C8" s="9">
        <v>0.29909000000000002</v>
      </c>
      <c r="D8" s="6">
        <v>0.37525999999999998</v>
      </c>
      <c r="E8" s="9">
        <v>0.22578999999999999</v>
      </c>
      <c r="F8" s="6">
        <v>0.28236</v>
      </c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x14ac:dyDescent="0.3">
      <c r="A9" s="11"/>
      <c r="B9" s="5" t="s">
        <v>6</v>
      </c>
      <c r="C9" s="9">
        <v>0.27889000000000003</v>
      </c>
      <c r="D9" s="6">
        <v>0.34126000000000001</v>
      </c>
      <c r="E9" s="9">
        <v>0.2263</v>
      </c>
      <c r="F9" s="6">
        <v>0.26275999999999999</v>
      </c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x14ac:dyDescent="0.3">
      <c r="A10" s="11"/>
      <c r="B10" s="5" t="s">
        <v>7</v>
      </c>
      <c r="C10" s="9">
        <v>0.27834999999999999</v>
      </c>
      <c r="D10" s="6">
        <v>0.34827000000000002</v>
      </c>
      <c r="E10" s="9">
        <v>0.22420000000000001</v>
      </c>
      <c r="F10" s="6">
        <v>0.26036999999999999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" thickBot="1" x14ac:dyDescent="0.35">
      <c r="A11" s="11"/>
      <c r="B11" s="7" t="s">
        <v>0</v>
      </c>
      <c r="C11" s="10">
        <v>0.29770999999999997</v>
      </c>
      <c r="D11" s="8">
        <v>0.32678000000000001</v>
      </c>
      <c r="E11" s="10">
        <v>0.22384000000000001</v>
      </c>
      <c r="F11" s="8">
        <v>0.25824999999999998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15" thickBot="1" x14ac:dyDescent="0.35">
      <c r="A13" s="11"/>
      <c r="B13" s="12" t="s">
        <v>19</v>
      </c>
      <c r="C13" s="12"/>
      <c r="D13" s="12"/>
      <c r="E13" s="12"/>
      <c r="F13" s="12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x14ac:dyDescent="0.3">
      <c r="A14" s="11"/>
      <c r="B14" s="17"/>
      <c r="C14" s="18" t="s">
        <v>17</v>
      </c>
      <c r="D14" s="19"/>
      <c r="E14" s="18" t="s">
        <v>18</v>
      </c>
      <c r="F14" s="19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15" thickBot="1" x14ac:dyDescent="0.35">
      <c r="A15" s="11"/>
      <c r="B15" s="20"/>
      <c r="C15" s="21" t="s">
        <v>9</v>
      </c>
      <c r="D15" s="22" t="s">
        <v>10</v>
      </c>
      <c r="E15" s="21" t="s">
        <v>9</v>
      </c>
      <c r="F15" s="22" t="s">
        <v>10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x14ac:dyDescent="0.3">
      <c r="A16" s="11"/>
      <c r="B16" s="5" t="s">
        <v>14</v>
      </c>
      <c r="C16" s="13">
        <f>C5/C$5</f>
        <v>1</v>
      </c>
      <c r="D16" s="14">
        <f>D5/D$5</f>
        <v>1</v>
      </c>
      <c r="E16" s="13">
        <f>E5/E$5</f>
        <v>1</v>
      </c>
      <c r="F16" s="14">
        <f>F5/F$5</f>
        <v>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x14ac:dyDescent="0.3">
      <c r="A17" s="11"/>
      <c r="B17" s="5" t="s">
        <v>22</v>
      </c>
      <c r="C17" s="13">
        <f>C6/C$5</f>
        <v>1.0712059979491926</v>
      </c>
      <c r="D17" s="14">
        <f>D6/D$5</f>
        <v>0.76189810894475496</v>
      </c>
      <c r="E17" s="13">
        <f>E6/E$5</f>
        <v>1.1305736596967046</v>
      </c>
      <c r="F17" s="14">
        <f>F6/F$5</f>
        <v>0.86171772842736627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x14ac:dyDescent="0.3">
      <c r="A18" s="11"/>
      <c r="B18" s="5" t="s">
        <v>2</v>
      </c>
      <c r="C18" s="13">
        <f>C7/C$5</f>
        <v>1.1028665135317315</v>
      </c>
      <c r="D18" s="14">
        <f>D7/D$5</f>
        <v>0.7548073787292009</v>
      </c>
      <c r="E18" s="13">
        <f>E7/E$5</f>
        <v>1.1175601997208024</v>
      </c>
      <c r="F18" s="14">
        <f>F7/F$5</f>
        <v>0.78381768707239519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x14ac:dyDescent="0.3">
      <c r="A19" s="11"/>
      <c r="B19" s="5" t="s">
        <v>5</v>
      </c>
      <c r="C19" s="13">
        <f>C8/C$5</f>
        <v>0.89280597014925378</v>
      </c>
      <c r="D19" s="14">
        <f>D8/D$5</f>
        <v>0.79673036093418259</v>
      </c>
      <c r="E19" s="13">
        <f>E8/E$5</f>
        <v>0.90315999999999996</v>
      </c>
      <c r="F19" s="14">
        <f>F8/F$5</f>
        <v>0.86085365853658535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x14ac:dyDescent="0.3">
      <c r="A20" s="11"/>
      <c r="B20" s="5" t="s">
        <v>6</v>
      </c>
      <c r="C20" s="13">
        <f>C9/C$5</f>
        <v>0.83250746268656717</v>
      </c>
      <c r="D20" s="14">
        <f>D9/D$5</f>
        <v>0.7245435244161359</v>
      </c>
      <c r="E20" s="13">
        <f>E9/E$5</f>
        <v>0.9052</v>
      </c>
      <c r="F20" s="14">
        <f>F9/F$5</f>
        <v>0.80109756097560969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x14ac:dyDescent="0.3">
      <c r="A21" s="11"/>
      <c r="B21" s="5" t="s">
        <v>7</v>
      </c>
      <c r="C21" s="13">
        <f t="shared" ref="C21:F21" si="0">C10/C$5</f>
        <v>0.83089552238805964</v>
      </c>
      <c r="D21" s="14">
        <f t="shared" si="0"/>
        <v>0.73942675159235682</v>
      </c>
      <c r="E21" s="13">
        <f t="shared" si="0"/>
        <v>0.89680000000000004</v>
      </c>
      <c r="F21" s="14">
        <f t="shared" si="0"/>
        <v>0.793810975609756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15" thickBot="1" x14ac:dyDescent="0.35">
      <c r="A22" s="11"/>
      <c r="B22" s="7" t="s">
        <v>0</v>
      </c>
      <c r="C22" s="15">
        <f t="shared" ref="C22:F22" si="1">C11/C$5</f>
        <v>0.88868656716417893</v>
      </c>
      <c r="D22" s="16">
        <f t="shared" si="1"/>
        <v>0.69380042462845015</v>
      </c>
      <c r="E22" s="15">
        <f t="shared" si="1"/>
        <v>0.89536000000000004</v>
      </c>
      <c r="F22" s="16">
        <f t="shared" si="1"/>
        <v>0.78734756097560965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ht="15" thickBot="1" x14ac:dyDescent="0.35">
      <c r="A26" s="11"/>
      <c r="B26" s="11" t="s">
        <v>26</v>
      </c>
      <c r="D26" s="11"/>
      <c r="E26" s="11"/>
      <c r="F26" s="11"/>
      <c r="G26" s="11"/>
      <c r="H26" s="11"/>
      <c r="I26" s="12" t="s">
        <v>25</v>
      </c>
      <c r="J26" s="12"/>
      <c r="K26" s="12"/>
      <c r="L26" s="12"/>
      <c r="M26" s="12"/>
      <c r="N26" s="11"/>
      <c r="O26" s="11"/>
      <c r="P26" s="11"/>
    </row>
    <row r="27" spans="1:16" ht="13.8" customHeight="1" x14ac:dyDescent="0.3">
      <c r="A27" s="11"/>
      <c r="B27" s="17"/>
      <c r="C27" s="18" t="s">
        <v>21</v>
      </c>
      <c r="D27" s="19"/>
      <c r="E27" s="18" t="s">
        <v>13</v>
      </c>
      <c r="F27" s="19"/>
      <c r="G27" s="11"/>
      <c r="H27" s="11"/>
      <c r="I27" s="17"/>
      <c r="J27" s="18" t="s">
        <v>27</v>
      </c>
      <c r="K27" s="19"/>
      <c r="L27" s="18" t="s">
        <v>28</v>
      </c>
      <c r="M27" s="19"/>
      <c r="N27" s="11"/>
      <c r="O27" s="11"/>
      <c r="P27" s="11"/>
    </row>
    <row r="28" spans="1:16" ht="29.4" thickBot="1" x14ac:dyDescent="0.35">
      <c r="A28" s="11"/>
      <c r="B28" s="20"/>
      <c r="C28" s="21" t="s">
        <v>9</v>
      </c>
      <c r="D28" s="22" t="s">
        <v>10</v>
      </c>
      <c r="E28" s="21" t="s">
        <v>9</v>
      </c>
      <c r="F28" s="22" t="s">
        <v>10</v>
      </c>
      <c r="G28" s="11"/>
      <c r="H28" s="11"/>
      <c r="I28" s="20"/>
      <c r="J28" s="23" t="s">
        <v>20</v>
      </c>
      <c r="K28" s="24" t="s">
        <v>23</v>
      </c>
      <c r="L28" s="23" t="s">
        <v>20</v>
      </c>
      <c r="M28" s="24" t="s">
        <v>23</v>
      </c>
      <c r="N28" s="11"/>
      <c r="O28" s="11"/>
      <c r="P28" s="11"/>
    </row>
    <row r="29" spans="1:16" x14ac:dyDescent="0.3">
      <c r="A29" s="11"/>
      <c r="B29" s="5" t="s">
        <v>14</v>
      </c>
      <c r="C29" s="13">
        <v>1</v>
      </c>
      <c r="D29" s="14">
        <v>1</v>
      </c>
      <c r="E29" s="13">
        <v>1</v>
      </c>
      <c r="F29" s="14">
        <v>1</v>
      </c>
      <c r="G29" s="11"/>
      <c r="H29" s="11"/>
      <c r="I29" s="5" t="s">
        <v>14</v>
      </c>
      <c r="J29" s="13">
        <f>C5</f>
        <v>0.33500000000000002</v>
      </c>
      <c r="K29" s="14">
        <f>RMSE_Comp!B5</f>
        <v>0.33600000000000002</v>
      </c>
      <c r="L29" s="13">
        <f>D5</f>
        <v>0.47099999999999997</v>
      </c>
      <c r="M29" s="14">
        <f>RMSE_Comp!C5</f>
        <v>0.47299999999999998</v>
      </c>
      <c r="N29" s="11"/>
      <c r="O29" s="11"/>
      <c r="P29" s="11"/>
    </row>
    <row r="30" spans="1:16" x14ac:dyDescent="0.3">
      <c r="A30" s="11"/>
      <c r="B30" s="5" t="s">
        <v>2</v>
      </c>
      <c r="C30" s="13">
        <v>0.92</v>
      </c>
      <c r="D30" s="14">
        <v>0.78</v>
      </c>
      <c r="E30" s="13">
        <f>K30/K$29</f>
        <v>0.91872023809523806</v>
      </c>
      <c r="F30" s="14">
        <f>M30/M$29</f>
        <v>0.77627906976744188</v>
      </c>
      <c r="G30" s="11"/>
      <c r="H30" s="11"/>
      <c r="I30" s="5" t="s">
        <v>2</v>
      </c>
      <c r="J30" s="13">
        <f>C7</f>
        <v>0.36946028203313008</v>
      </c>
      <c r="K30" s="14">
        <f>RMSE_Comp!B7</f>
        <v>0.30869000000000002</v>
      </c>
      <c r="L30" s="13">
        <f>D7</f>
        <v>0.35551427538145358</v>
      </c>
      <c r="M30" s="14">
        <f>RMSE_Comp!C7</f>
        <v>0.36718000000000001</v>
      </c>
      <c r="N30" s="11"/>
      <c r="O30" s="11"/>
      <c r="P30" s="11"/>
    </row>
    <row r="31" spans="1:16" x14ac:dyDescent="0.3">
      <c r="A31" s="11"/>
      <c r="B31" s="5" t="s">
        <v>5</v>
      </c>
      <c r="C31" s="13">
        <v>0.86</v>
      </c>
      <c r="D31" s="14">
        <v>0.7</v>
      </c>
      <c r="E31" s="13">
        <f>K31/K$29</f>
        <v>0.85416666666666652</v>
      </c>
      <c r="F31" s="14">
        <f>M31/M$29</f>
        <v>0.71035940803382669</v>
      </c>
      <c r="G31" s="11"/>
      <c r="H31" s="11"/>
      <c r="I31" s="5" t="s">
        <v>5</v>
      </c>
      <c r="J31" s="13">
        <f>C8</f>
        <v>0.29909000000000002</v>
      </c>
      <c r="K31" s="14">
        <f>RMSE_Comp!B8</f>
        <v>0.28699999999999998</v>
      </c>
      <c r="L31" s="13">
        <v>0.35799999999999998</v>
      </c>
      <c r="M31" s="14">
        <f>RMSE_Comp!C8</f>
        <v>0.33600000000000002</v>
      </c>
      <c r="N31" s="11"/>
      <c r="O31" s="11"/>
      <c r="P31" s="11"/>
    </row>
    <row r="32" spans="1:16" x14ac:dyDescent="0.3">
      <c r="A32" s="11"/>
      <c r="B32" s="5" t="s">
        <v>6</v>
      </c>
      <c r="C32" s="13">
        <v>0.84</v>
      </c>
      <c r="D32" s="14">
        <v>0.71</v>
      </c>
      <c r="E32" s="13">
        <f>K32/K$29</f>
        <v>0.83630952380952384</v>
      </c>
      <c r="F32" s="14">
        <f>M32/M$29</f>
        <v>0.74207188160676529</v>
      </c>
      <c r="G32" s="11"/>
      <c r="H32" s="11"/>
      <c r="I32" s="5" t="s">
        <v>6</v>
      </c>
      <c r="J32" s="13">
        <f>C9</f>
        <v>0.27889000000000003</v>
      </c>
      <c r="K32" s="14">
        <f>RMSE_Comp!B9</f>
        <v>0.28100000000000003</v>
      </c>
      <c r="L32" s="13">
        <f>D9</f>
        <v>0.34126000000000001</v>
      </c>
      <c r="M32" s="14">
        <f>RMSE_Comp!C9</f>
        <v>0.35099999999999998</v>
      </c>
      <c r="N32" s="11"/>
      <c r="O32" s="11"/>
      <c r="P32" s="11"/>
    </row>
    <row r="33" spans="1:16" x14ac:dyDescent="0.3">
      <c r="A33" s="11"/>
      <c r="B33" s="5" t="s">
        <v>7</v>
      </c>
      <c r="C33" s="13">
        <v>0.84</v>
      </c>
      <c r="D33" s="14">
        <v>0.71</v>
      </c>
      <c r="E33" s="13">
        <f>K33/K$29</f>
        <v>0.83928571428571419</v>
      </c>
      <c r="F33" s="14">
        <f>M33/M$29</f>
        <v>0.7167019027484145</v>
      </c>
      <c r="G33" s="11"/>
      <c r="H33" s="11"/>
      <c r="I33" s="5" t="s">
        <v>7</v>
      </c>
      <c r="J33" s="13">
        <f>C10</f>
        <v>0.27834999999999999</v>
      </c>
      <c r="K33" s="14">
        <f>RMSE_Comp!B10</f>
        <v>0.28199999999999997</v>
      </c>
      <c r="L33" s="13">
        <f>D10</f>
        <v>0.34827000000000002</v>
      </c>
      <c r="M33" s="14">
        <f>RMSE_Comp!C10</f>
        <v>0.33900000000000002</v>
      </c>
      <c r="N33" s="11"/>
      <c r="O33" s="11"/>
      <c r="P33" s="11"/>
    </row>
    <row r="34" spans="1:16" ht="15" thickBot="1" x14ac:dyDescent="0.35">
      <c r="A34" s="11"/>
      <c r="B34" s="7" t="s">
        <v>0</v>
      </c>
      <c r="C34" s="15">
        <v>0.86</v>
      </c>
      <c r="D34" s="16">
        <v>0.69</v>
      </c>
      <c r="E34" s="15">
        <f>K34/K$29</f>
        <v>0.87238095238095226</v>
      </c>
      <c r="F34" s="16" t="s">
        <v>4</v>
      </c>
      <c r="G34" s="11"/>
      <c r="H34" s="11"/>
      <c r="I34" s="7" t="s">
        <v>0</v>
      </c>
      <c r="J34" s="15">
        <f>C11</f>
        <v>0.29770999999999997</v>
      </c>
      <c r="K34" s="16">
        <f>RMSE_Comp!B11</f>
        <v>0.29311999999999999</v>
      </c>
      <c r="L34" s="15">
        <f>D11</f>
        <v>0.32678000000000001</v>
      </c>
      <c r="M34" s="16">
        <f>RMSE_Comp!C11</f>
        <v>0.33437</v>
      </c>
      <c r="N34" s="11"/>
      <c r="O34" s="11"/>
      <c r="P34" s="11"/>
    </row>
    <row r="35" spans="1:16" x14ac:dyDescent="0.3">
      <c r="A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48" spans="1:16" x14ac:dyDescent="0.3">
      <c r="I48" s="11"/>
    </row>
  </sheetData>
  <mergeCells count="11">
    <mergeCell ref="C27:D27"/>
    <mergeCell ref="E27:F27"/>
    <mergeCell ref="I26:M26"/>
    <mergeCell ref="J27:K27"/>
    <mergeCell ref="L27:M27"/>
    <mergeCell ref="C3:D3"/>
    <mergeCell ref="E3:F3"/>
    <mergeCell ref="B2:F2"/>
    <mergeCell ref="B13:F13"/>
    <mergeCell ref="C14:D14"/>
    <mergeCell ref="E14:F14"/>
  </mergeCells>
  <conditionalFormatting sqref="C7:C11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C11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7:D11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5:D11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:E11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:E11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:F11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11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8:C22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C22"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8:D22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6:D22"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8:E22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6:E22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:F22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6:F22"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0:C34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30:D34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9:C34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9:D34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0:E34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0:F34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:E34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9:F34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0:J34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0:K3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:J3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9:K34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30:L3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0:M3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9:L3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9:M34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:K3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9:M3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RMSE_Comp</vt:lpstr>
      <vt:lpstr>RMSE_Comp_Formatted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Orhun Özel</dc:creator>
  <cp:lastModifiedBy>Orhun Özel</cp:lastModifiedBy>
  <dcterms:created xsi:type="dcterms:W3CDTF">2015-06-05T18:17:20Z</dcterms:created>
  <dcterms:modified xsi:type="dcterms:W3CDTF">2025-12-05T21:58:38Z</dcterms:modified>
</cp:coreProperties>
</file>